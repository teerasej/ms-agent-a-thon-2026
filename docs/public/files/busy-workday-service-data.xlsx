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a4da8c93ac4c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e Data" sheetId="1" r:id="R2b675eef9b82462e"/>
    <x:sheet xmlns:r="http://schemas.openxmlformats.org/officeDocument/2006/relationships" name="Expected analysis" sheetId="2" r:id="R7c6cfd9d181a4f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#,##0"/>
  </x:numFmts>
  <x:fonts count="5">
    <x:font>
      <x:sz val="11"/>
      <x:name val="Carlito"/>
    </x:font>
    <x:font>
      <x:b/>
      <x:sz val="18"/>
      <x:color rgb="FF1F4E78"/>
      <x:name val="Arial"/>
    </x:font>
    <x:font>
      <x:i/>
      <x:sz val="10"/>
      <x:color rgb="FF475569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</x:fills>
  <x:borders count="5">
    <x:border/>
    <x:border>
      <x:bottom style="thin">
        <x:color rgb="FF94A3B8"/>
      </x:bottom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CBD5E1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right" vertical="center" wrapText="1"/>
    </x:xf>
    <x:xf numFmtId="0" fontId="3" fillId="0" borderId="4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0" fontId="3" fillId="0" borderId="3" xfId="0" applyNumberFormat="1" applyFont="1" applyFill="1" applyBorder="1" applyAlignment="1">
      <x:alignment vertical="center" wrapText="1"/>
    </x:xf>
    <x:xf numFmtId="201" fontId="3" fillId="0" borderId="3" xfId="0" applyNumberFormat="1" applyFont="1" applyFill="1" applyBorder="1" applyAlignment="1">
      <x:alignment vertical="center" wrapText="1"/>
    </x:xf>
    <x:xf numFmtId="200" fontId="3" fillId="0" borderId="4" xfId="0" applyNumberFormat="1" applyFont="1" applyFill="1" applyBorder="1" applyAlignment="1">
      <x:alignment vertical="center" wrapText="1"/>
    </x:xf>
    <x:xf numFmtId="201" fontId="3" fillId="0" borderId="4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40b07a521c4417" /><Relationship Type="http://schemas.openxmlformats.org/officeDocument/2006/relationships/theme" Target="/xl/theme/theme1.xml" Id="R4795e37d36a5412a" /><Relationship Type="http://schemas.openxmlformats.org/officeDocument/2006/relationships/sharedStrings" Target="/xl/sharedStrings.xml" Id="Rccfa732da5c64659" /><Relationship Type="http://schemas.openxmlformats.org/officeDocument/2006/relationships/worksheet" Target="/xl/worksheets/sheet1.xml" Id="R2b675eef9b82462e" /><Relationship Type="http://schemas.openxmlformats.org/officeDocument/2006/relationships/worksheet" Target="/xl/worksheets/sheet2.xml" Id="R7c6cfd9d181a4f3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adcd41566f9434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Average resolution hours by month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Average resolution hours</c:v>
          </c:tx>
          <c:marker>
            <c:symbol val="none"/>
          </c:marker>
          <c:cat>
            <c:strRef>
              <c:f>'Expected analysis'!$A$6:$A$11</c:f>
              <c:strCache>
                <c:ptCount val="0"/>
              </c:strCache>
            </c:strRef>
          </c:cat>
          <c:val>
            <c:numRef>
              <c:f>'Expected analysis'!$B$6:$B$11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11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dcd41566f9434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erviceData" displayName="ServiceData" ref="A5:F29" headerRowCount="1" totalsRowCount="0" totalsRowShown="0">
  <x:tableColumns count="6">
    <x:tableColumn id="1" name="Month"/>
    <x:tableColumn id="2" name="Team"/>
    <x:tableColumn id="3" name="Request type"/>
    <x:tableColumn id="4" name="Request volume"/>
    <x:tableColumn id="5" name="Average resolution hours"/>
    <x:tableColumn id="6" name="Satisfaction 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79d6b34c32403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2dbb0fdd92047c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890000343322754" hidden="0" customWidth="1"/>
    <x:col min="2" max="2" width="12.220000267028809" hidden="0" customWidth="1"/>
    <x:col min="3" max="3" width="17.780000686645508" hidden="0" customWidth="1"/>
    <x:col min="4" max="4" width="12.220000267028809" hidden="0" customWidth="1"/>
    <x:col min="5" max="5" width="16.670000076293945" hidden="0" customWidth="1"/>
    <x:col min="6" max="6" width="13.329999923706055" hidden="0" customWidth="1"/>
  </x:cols>
  <x:sheetData>
    <x:row r="1" ht="30" customHeight="1">
      <x:c r="A1" s="1" t="str">
        <x:v>Service request data</x:v>
      </x:c>
    </x:row>
    <x:row r="2" ht="24" customHeight="1">
      <x:c r="A2" s="3" t="str">
        <x:v>Synthetic monthly data for the Analyst exercise</x:v>
      </x:c>
    </x:row>
    <x:row r="3">
      <x:c r="A3" s="4"/>
      <x:c r="B3" s="4"/>
      <x:c r="C3" s="4"/>
      <x:c r="D3" s="4"/>
      <x:c r="E3" s="4"/>
      <x:c r="F3" s="4"/>
    </x:row>
    <x:row r="5" ht="30" customHeight="1">
      <x:c r="A5" s="13" t="str">
        <x:v>Month</x:v>
      </x:c>
      <x:c r="B5" s="13" t="str">
        <x:v>Team</x:v>
      </x:c>
      <x:c r="C5" s="13" t="str">
        <x:v>Request type</x:v>
      </x:c>
      <x:c r="D5" s="13" t="str">
        <x:v>Request volume</x:v>
      </x:c>
      <x:c r="E5" s="13" t="str">
        <x:v>Average resolution hours</x:v>
      </x:c>
      <x:c r="F5" s="13" t="str">
        <x:v>Satisfaction score</x:v>
      </x:c>
    </x:row>
    <x:row r="6">
      <x:c r="A6" s="9" t="str">
        <x:v>Jan</x:v>
      </x:c>
      <x:c r="B6" s="9" t="str">
        <x:v>Finance</x:v>
      </x:c>
      <x:c r="C6" s="9" t="str">
        <x:v>Finance support</x:v>
      </x:c>
      <x:c r="D6" s="14" t="n">
        <x:v>45</x:v>
      </x:c>
      <x:c r="E6" s="14" t="n">
        <x:v>11</x:v>
      </x:c>
      <x:c r="F6" s="14" t="n">
        <x:v>88</x:v>
      </x:c>
    </x:row>
    <x:row r="7">
      <x:c r="A7" s="9" t="str">
        <x:v>Jan</x:v>
      </x:c>
      <x:c r="B7" s="9" t="str">
        <x:v>HR</x:v>
      </x:c>
      <x:c r="C7" s="9" t="str">
        <x:v>HR support</x:v>
      </x:c>
      <x:c r="D7" s="14" t="n">
        <x:v>38</x:v>
      </x:c>
      <x:c r="E7" s="14" t="n">
        <x:v>9</x:v>
      </x:c>
      <x:c r="F7" s="14" t="n">
        <x:v>90</x:v>
      </x:c>
    </x:row>
    <x:row r="8">
      <x:c r="A8" s="9" t="str">
        <x:v>Jan</x:v>
      </x:c>
      <x:c r="B8" s="9" t="str">
        <x:v>IT</x:v>
      </x:c>
      <x:c r="C8" s="9" t="str">
        <x:v>IT support</x:v>
      </x:c>
      <x:c r="D8" s="14" t="n">
        <x:v>52</x:v>
      </x:c>
      <x:c r="E8" s="14" t="n">
        <x:v>14</x:v>
      </x:c>
      <x:c r="F8" s="14" t="n">
        <x:v>84</x:v>
      </x:c>
    </x:row>
    <x:row r="9">
      <x:c r="A9" s="9" t="str">
        <x:v>Jan</x:v>
      </x:c>
      <x:c r="B9" s="9" t="str">
        <x:v>Facilities</x:v>
      </x:c>
      <x:c r="C9" s="9" t="str">
        <x:v>Facilities support</x:v>
      </x:c>
      <x:c r="D9" s="14" t="n">
        <x:v>30</x:v>
      </x:c>
      <x:c r="E9" s="14" t="n">
        <x:v>8</x:v>
      </x:c>
      <x:c r="F9" s="14" t="n">
        <x:v>91</x:v>
      </x:c>
    </x:row>
    <x:row r="10">
      <x:c r="A10" s="9" t="str">
        <x:v>Feb</x:v>
      </x:c>
      <x:c r="B10" s="9" t="str">
        <x:v>Finance</x:v>
      </x:c>
      <x:c r="C10" s="9" t="str">
        <x:v>Finance support</x:v>
      </x:c>
      <x:c r="D10" s="14" t="n">
        <x:v>47</x:v>
      </x:c>
      <x:c r="E10" s="14" t="n">
        <x:v>11</x:v>
      </x:c>
      <x:c r="F10" s="14" t="n">
        <x:v>88</x:v>
      </x:c>
    </x:row>
    <x:row r="11">
      <x:c r="A11" s="9" t="str">
        <x:v>Feb</x:v>
      </x:c>
      <x:c r="B11" s="9" t="str">
        <x:v>HR</x:v>
      </x:c>
      <x:c r="C11" s="9" t="str">
        <x:v>HR support</x:v>
      </x:c>
      <x:c r="D11" s="14" t="n">
        <x:v>40</x:v>
      </x:c>
      <x:c r="E11" s="14" t="n">
        <x:v>9</x:v>
      </x:c>
      <x:c r="F11" s="14" t="n">
        <x:v>89</x:v>
      </x:c>
    </x:row>
    <x:row r="12">
      <x:c r="A12" s="9" t="str">
        <x:v>Feb</x:v>
      </x:c>
      <x:c r="B12" s="9" t="str">
        <x:v>IT</x:v>
      </x:c>
      <x:c r="C12" s="9" t="str">
        <x:v>IT support</x:v>
      </x:c>
      <x:c r="D12" s="14" t="n">
        <x:v>55</x:v>
      </x:c>
      <x:c r="E12" s="14" t="n">
        <x:v>15</x:v>
      </x:c>
      <x:c r="F12" s="14" t="n">
        <x:v>83</x:v>
      </x:c>
    </x:row>
    <x:row r="13">
      <x:c r="A13" s="9" t="str">
        <x:v>Feb</x:v>
      </x:c>
      <x:c r="B13" s="9" t="str">
        <x:v>Facilities</x:v>
      </x:c>
      <x:c r="C13" s="9" t="str">
        <x:v>Facilities support</x:v>
      </x:c>
      <x:c r="D13" s="14" t="n">
        <x:v>31</x:v>
      </x:c>
      <x:c r="E13" s="14" t="n">
        <x:v>8</x:v>
      </x:c>
      <x:c r="F13" s="14" t="n">
        <x:v>91</x:v>
      </x:c>
    </x:row>
    <x:row r="14">
      <x:c r="A14" s="9" t="str">
        <x:v>Mar</x:v>
      </x:c>
      <x:c r="B14" s="9" t="str">
        <x:v>Finance</x:v>
      </x:c>
      <x:c r="C14" s="9" t="str">
        <x:v>Finance support</x:v>
      </x:c>
      <x:c r="D14" s="14" t="n">
        <x:v>49</x:v>
      </x:c>
      <x:c r="E14" s="14" t="n">
        <x:v>12</x:v>
      </x:c>
      <x:c r="F14" s="14" t="n">
        <x:v>87</x:v>
      </x:c>
    </x:row>
    <x:row r="15">
      <x:c r="A15" s="9" t="str">
        <x:v>Mar</x:v>
      </x:c>
      <x:c r="B15" s="9" t="str">
        <x:v>HR</x:v>
      </x:c>
      <x:c r="C15" s="9" t="str">
        <x:v>HR support</x:v>
      </x:c>
      <x:c r="D15" s="14" t="n">
        <x:v>41</x:v>
      </x:c>
      <x:c r="E15" s="14" t="n">
        <x:v>10</x:v>
      </x:c>
      <x:c r="F15" s="14" t="n">
        <x:v>89</x:v>
      </x:c>
    </x:row>
    <x:row r="16">
      <x:c r="A16" s="9" t="str">
        <x:v>Mar</x:v>
      </x:c>
      <x:c r="B16" s="9" t="str">
        <x:v>IT</x:v>
      </x:c>
      <x:c r="C16" s="9" t="str">
        <x:v>IT support</x:v>
      </x:c>
      <x:c r="D16" s="14" t="n">
        <x:v>60</x:v>
      </x:c>
      <x:c r="E16" s="14" t="n">
        <x:v>16</x:v>
      </x:c>
      <x:c r="F16" s="14" t="n">
        <x:v>81</x:v>
      </x:c>
    </x:row>
    <x:row r="17">
      <x:c r="A17" s="9" t="str">
        <x:v>Mar</x:v>
      </x:c>
      <x:c r="B17" s="9" t="str">
        <x:v>Facilities</x:v>
      </x:c>
      <x:c r="C17" s="9" t="str">
        <x:v>Facilities support</x:v>
      </x:c>
      <x:c r="D17" s="14" t="n">
        <x:v>33</x:v>
      </x:c>
      <x:c r="E17" s="14" t="n">
        <x:v>9</x:v>
      </x:c>
      <x:c r="F17" s="14" t="n">
        <x:v>90</x:v>
      </x:c>
    </x:row>
    <x:row r="18">
      <x:c r="A18" s="9" t="str">
        <x:v>Apr</x:v>
      </x:c>
      <x:c r="B18" s="9" t="str">
        <x:v>Finance</x:v>
      </x:c>
      <x:c r="C18" s="9" t="str">
        <x:v>Finance support</x:v>
      </x:c>
      <x:c r="D18" s="14" t="n">
        <x:v>52</x:v>
      </x:c>
      <x:c r="E18" s="14" t="n">
        <x:v>12</x:v>
      </x:c>
      <x:c r="F18" s="14" t="n">
        <x:v>87</x:v>
      </x:c>
    </x:row>
    <x:row r="19">
      <x:c r="A19" s="9" t="str">
        <x:v>Apr</x:v>
      </x:c>
      <x:c r="B19" s="9" t="str">
        <x:v>HR</x:v>
      </x:c>
      <x:c r="C19" s="9" t="str">
        <x:v>HR support</x:v>
      </x:c>
      <x:c r="D19" s="14" t="n">
        <x:v>43</x:v>
      </x:c>
      <x:c r="E19" s="14" t="n">
        <x:v>10</x:v>
      </x:c>
      <x:c r="F19" s="14" t="n">
        <x:v>88</x:v>
      </x:c>
    </x:row>
    <x:row r="20">
      <x:c r="A20" s="9" t="str">
        <x:v>Apr</x:v>
      </x:c>
      <x:c r="B20" s="9" t="str">
        <x:v>IT</x:v>
      </x:c>
      <x:c r="C20" s="9" t="str">
        <x:v>IT support</x:v>
      </x:c>
      <x:c r="D20" s="14" t="n">
        <x:v>66</x:v>
      </x:c>
      <x:c r="E20" s="14" t="n">
        <x:v>18</x:v>
      </x:c>
      <x:c r="F20" s="14" t="n">
        <x:v>79</x:v>
      </x:c>
    </x:row>
    <x:row r="21">
      <x:c r="A21" s="9" t="str">
        <x:v>Apr</x:v>
      </x:c>
      <x:c r="B21" s="9" t="str">
        <x:v>Facilities</x:v>
      </x:c>
      <x:c r="C21" s="9" t="str">
        <x:v>Facilities support</x:v>
      </x:c>
      <x:c r="D21" s="14" t="n">
        <x:v>35</x:v>
      </x:c>
      <x:c r="E21" s="14" t="n">
        <x:v>9</x:v>
      </x:c>
      <x:c r="F21" s="14" t="n">
        <x:v>90</x:v>
      </x:c>
    </x:row>
    <x:row r="22">
      <x:c r="A22" s="9" t="str">
        <x:v>May</x:v>
      </x:c>
      <x:c r="B22" s="9" t="str">
        <x:v>Finance</x:v>
      </x:c>
      <x:c r="C22" s="9" t="str">
        <x:v>Finance support</x:v>
      </x:c>
      <x:c r="D22" s="14" t="n">
        <x:v>55</x:v>
      </x:c>
      <x:c r="E22" s="14" t="n">
        <x:v>13</x:v>
      </x:c>
      <x:c r="F22" s="14" t="n">
        <x:v>86</x:v>
      </x:c>
    </x:row>
    <x:row r="23">
      <x:c r="A23" s="9" t="str">
        <x:v>May</x:v>
      </x:c>
      <x:c r="B23" s="9" t="str">
        <x:v>HR</x:v>
      </x:c>
      <x:c r="C23" s="9" t="str">
        <x:v>HR support</x:v>
      </x:c>
      <x:c r="D23" s="14" t="n">
        <x:v>44</x:v>
      </x:c>
      <x:c r="E23" s="14" t="n">
        <x:v>10</x:v>
      </x:c>
      <x:c r="F23" s="14" t="n">
        <x:v>88</x:v>
      </x:c>
    </x:row>
    <x:row r="24">
      <x:c r="A24" s="9" t="str">
        <x:v>May</x:v>
      </x:c>
      <x:c r="B24" s="9" t="str">
        <x:v>IT</x:v>
      </x:c>
      <x:c r="C24" s="9" t="str">
        <x:v>IT support</x:v>
      </x:c>
      <x:c r="D24" s="14" t="n">
        <x:v>110</x:v>
      </x:c>
      <x:c r="E24" s="14" t="n">
        <x:v>31</x:v>
      </x:c>
      <x:c r="F24" s="14" t="n">
        <x:v>68</x:v>
      </x:c>
    </x:row>
    <x:row r="25">
      <x:c r="A25" s="9" t="str">
        <x:v>May</x:v>
      </x:c>
      <x:c r="B25" s="9" t="str">
        <x:v>Facilities</x:v>
      </x:c>
      <x:c r="C25" s="9" t="str">
        <x:v>Facilities support</x:v>
      </x:c>
      <x:c r="D25" s="14" t="n">
        <x:v>36</x:v>
      </x:c>
      <x:c r="E25" s="14" t="n">
        <x:v>10</x:v>
      </x:c>
      <x:c r="F25" s="14" t="n">
        <x:v>89</x:v>
      </x:c>
    </x:row>
    <x:row r="26">
      <x:c r="A26" s="9" t="str">
        <x:v>Jun</x:v>
      </x:c>
      <x:c r="B26" s="9" t="str">
        <x:v>Finance</x:v>
      </x:c>
      <x:c r="C26" s="9" t="str">
        <x:v>Finance support</x:v>
      </x:c>
      <x:c r="D26" s="14" t="n">
        <x:v>57</x:v>
      </x:c>
      <x:c r="E26" s="14" t="n">
        <x:v>13</x:v>
      </x:c>
      <x:c r="F26" s="14" t="n">
        <x:v>86</x:v>
      </x:c>
    </x:row>
    <x:row r="27">
      <x:c r="A27" s="9" t="str">
        <x:v>Jun</x:v>
      </x:c>
      <x:c r="B27" s="9" t="str">
        <x:v>HR</x:v>
      </x:c>
      <x:c r="C27" s="9" t="str">
        <x:v>HR support</x:v>
      </x:c>
      <x:c r="D27" s="14" t="n">
        <x:v>46</x:v>
      </x:c>
      <x:c r="E27" s="14" t="n">
        <x:v>11</x:v>
      </x:c>
      <x:c r="F27" s="14" t="n">
        <x:v>87</x:v>
      </x:c>
    </x:row>
    <x:row r="28">
      <x:c r="A28" s="9" t="str">
        <x:v>Jun</x:v>
      </x:c>
      <x:c r="B28" s="9" t="str">
        <x:v>IT</x:v>
      </x:c>
      <x:c r="C28" s="9" t="str">
        <x:v>IT support</x:v>
      </x:c>
      <x:c r="D28" s="14" t="n">
        <x:v>82</x:v>
      </x:c>
      <x:c r="E28" s="14" t="n">
        <x:v>24</x:v>
      </x:c>
      <x:c r="F28" s="14" t="n">
        <x:v>73</x:v>
      </x:c>
    </x:row>
    <x:row r="29">
      <x:c r="A29" s="10" t="str">
        <x:v>Jun</x:v>
      </x:c>
      <x:c r="B29" s="10" t="str">
        <x:v>Facilities</x:v>
      </x:c>
      <x:c r="C29" s="10" t="str">
        <x:v>Facilities support</x:v>
      </x:c>
      <x:c r="D29" s="15" t="n">
        <x:v>38</x:v>
      </x:c>
      <x:c r="E29" s="15" t="n">
        <x:v>10</x:v>
      </x:c>
      <x:c r="F29" s="15" t="n">
        <x:v>89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979d6b34c32403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27.780000686645508" hidden="0" customWidth="1"/>
    <x:col min="3" max="3" width="30" hidden="0" customWidth="1"/>
  </x:cols>
  <x:sheetData>
    <x:row r="1" ht="30" customHeight="1">
      <x:c r="A1" s="1" t="str">
        <x:v>Expected analysis</x:v>
      </x:c>
    </x:row>
    <x:row r="2" ht="24" customHeight="1">
      <x:c r="A2" s="3" t="str">
        <x:v>Fallback for facilitator use when Analyst is unavailable</x:v>
      </x:c>
    </x:row>
    <x:row r="3">
      <x:c r="A3" s="4"/>
      <x:c r="B3" s="4"/>
      <x:c r="C3" s="4"/>
      <x:c r="D3" s="4"/>
      <x:c r="E3" s="4"/>
      <x:c r="F3" s="4"/>
      <x:c r="G3" s="4"/>
      <x:c r="H3" s="4"/>
    </x:row>
    <x:row r="5" ht="30" customHeight="1">
      <x:c r="A5" s="13" t="str">
        <x:v>Month</x:v>
      </x:c>
      <x:c r="B5" s="13" t="str">
        <x:v>Average resolution hours</x:v>
      </x:c>
      <x:c r="C5" s="13" t="str">
        <x:v>Total requests</x:v>
      </x:c>
    </x:row>
    <x:row r="6">
      <x:c r="A6" s="9" t="str">
        <x:v>Jan</x:v>
      </x:c>
      <x:c r="B6" s="24" t="n">
        <x:f>SUMIF('Service Data'!$A$6:$A$29,A6,'Service Data'!$E$6:$E$29)/COUNTIF('Service Data'!$A$6:$A$29,A6)</x:f>
        <x:v>10.5</x:v>
      </x:c>
      <x:c r="C6" s="25" t="n">
        <x:f>SUMIF('Service Data'!$A$6:$A$29,A6,'Service Data'!$D$6:$D$29)</x:f>
        <x:v>165</x:v>
      </x:c>
    </x:row>
    <x:row r="7">
      <x:c r="A7" s="9" t="str">
        <x:v>Feb</x:v>
      </x:c>
      <x:c r="B7" s="24" t="n">
        <x:f>SUMIF('Service Data'!$A$6:$A$29,A7,'Service Data'!$E$6:$E$29)/COUNTIF('Service Data'!$A$6:$A$29,A7)</x:f>
        <x:v>10.75</x:v>
      </x:c>
      <x:c r="C7" s="25" t="n">
        <x:f>SUMIF('Service Data'!$A$6:$A$29,A7,'Service Data'!$D$6:$D$29)</x:f>
        <x:v>173</x:v>
      </x:c>
    </x:row>
    <x:row r="8">
      <x:c r="A8" s="9" t="str">
        <x:v>Mar</x:v>
      </x:c>
      <x:c r="B8" s="24" t="n">
        <x:f>SUMIF('Service Data'!$A$6:$A$29,A8,'Service Data'!$E$6:$E$29)/COUNTIF('Service Data'!$A$6:$A$29,A8)</x:f>
        <x:v>11.75</x:v>
      </x:c>
      <x:c r="C8" s="25" t="n">
        <x:f>SUMIF('Service Data'!$A$6:$A$29,A8,'Service Data'!$D$6:$D$29)</x:f>
        <x:v>183</x:v>
      </x:c>
    </x:row>
    <x:row r="9">
      <x:c r="A9" s="9" t="str">
        <x:v>Apr</x:v>
      </x:c>
      <x:c r="B9" s="24" t="n">
        <x:f>SUMIF('Service Data'!$A$6:$A$29,A9,'Service Data'!$E$6:$E$29)/COUNTIF('Service Data'!$A$6:$A$29,A9)</x:f>
        <x:v>12.25</x:v>
      </x:c>
      <x:c r="C9" s="25" t="n">
        <x:f>SUMIF('Service Data'!$A$6:$A$29,A9,'Service Data'!$D$6:$D$29)</x:f>
        <x:v>196</x:v>
      </x:c>
    </x:row>
    <x:row r="10">
      <x:c r="A10" s="9" t="str">
        <x:v>May</x:v>
      </x:c>
      <x:c r="B10" s="24" t="n">
        <x:f>SUMIF('Service Data'!$A$6:$A$29,A10,'Service Data'!$E$6:$E$29)/COUNTIF('Service Data'!$A$6:$A$29,A10)</x:f>
        <x:v>16</x:v>
      </x:c>
      <x:c r="C10" s="25" t="n">
        <x:f>SUMIF('Service Data'!$A$6:$A$29,A10,'Service Data'!$D$6:$D$29)</x:f>
        <x:v>245</x:v>
      </x:c>
    </x:row>
    <x:row r="11">
      <x:c r="A11" s="10" t="str">
        <x:v>Jun</x:v>
      </x:c>
      <x:c r="B11" s="26" t="n">
        <x:f>SUMIF('Service Data'!$A$6:$A$29,A11,'Service Data'!$E$6:$E$29)/COUNTIF('Service Data'!$A$6:$A$29,A11)</x:f>
        <x:v>14.5</x:v>
      </x:c>
      <x:c r="C11" s="27" t="n">
        <x:f>SUMIF('Service Data'!$A$6:$A$29,A11,'Service Data'!$D$6:$D$29)</x:f>
        <x:v>223</x:v>
      </x:c>
    </x:row>
    <x:row r="14" ht="36" customHeight="1">
      <x:c r="A14" s="30" t="str">
        <x:v>Finding</x:v>
      </x:c>
      <x:c r="B14" s="30" t="str">
        <x:v>Evidence</x:v>
      </x:c>
      <x:c r="C14" s="30" t="str">
        <x:v>Human check</x:v>
      </x:c>
      <x:c r="D14"/>
      <x:c r="E14"/>
      <x:c r="F14"/>
    </x:row>
    <x:row r="15" ht="58" customHeight="1">
      <x:c r="A15" s="31" t="str">
        <x:v>Resolution time rises through May</x:v>
      </x:c>
      <x:c r="B15" s="31" t="str">
        <x:v>Monthly average increases from January to May</x:v>
      </x:c>
      <x:c r="C15" s="31" t="str">
        <x:v>Check whether workload mix or staffing changed</x:v>
      </x:c>
      <x:c r="D15"/>
      <x:c r="E15"/>
      <x:c r="F15"/>
    </x:row>
    <x:row r="16" ht="58" customHeight="1">
      <x:c r="A16" s="31" t="str">
        <x:v>IT in May is the clearest outlier</x:v>
      </x:c>
      <x:c r="B16" s="31" t="str">
        <x:v>110 requests, 31 average hours, satisfaction 68</x:v>
      </x:c>
      <x:c r="C16" s="31" t="str">
        <x:v>Investigate the incident or backlog behind the values</x:v>
      </x:c>
      <x:c r="D16"/>
      <x:c r="E16"/>
      <x:c r="F16"/>
    </x:row>
    <x:row r="17" ht="58" customHeight="1">
      <x:c r="A17" s="31" t="str">
        <x:v>June improves but remains above April</x:v>
      </x:c>
      <x:c r="B17" s="31" t="str">
        <x:v>IT resolution time drops to 24 hours</x:v>
      </x:c>
      <x:c r="C17" s="31" t="str">
        <x:v>Confirm whether the improvement continues</x:v>
      </x:c>
      <x:c r="D17"/>
      <x:c r="E17"/>
      <x:c r="F17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92dbb0fdd92047cc"/>
</x:worksheet>
</file>